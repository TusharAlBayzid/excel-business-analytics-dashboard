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EBCF12A-956E-4925-9122-1E5FFF7406F9}" xr6:coauthVersionLast="47" xr6:coauthVersionMax="47" xr10:uidLastSave="{00000000-0000-0000-0000-000000000000}"/>
  <bookViews>
    <workbookView xWindow="10395" yWindow="0" windowWidth="18510" windowHeight="16305" xr2:uid="{00000000-000D-0000-FFFF-FFFF00000000}"/>
  </bookViews>
  <sheets>
    <sheet name="Dashboard" sheetId="1" r:id="rId1"/>
    <sheet name="Raw &amp; Clean Data" sheetId="2" r:id="rId2"/>
    <sheet name="Data Model &amp; Calculations" sheetId="3" r:id="rId3"/>
  </sheets>
  <definedNames>
    <definedName name="Slicer_Order_Date">#N/A</definedName>
    <definedName name="Slicer_Product_Name">#N/A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3" l="1"/>
  <c r="C5" i="3"/>
  <c r="D6" i="1" s="1"/>
  <c r="I31" i="2"/>
  <c r="I30" i="2"/>
  <c r="I29" i="2"/>
  <c r="I28" i="2"/>
  <c r="I27" i="2"/>
  <c r="I26" i="2"/>
  <c r="I25" i="2"/>
  <c r="I24" i="2"/>
  <c r="I23" i="2"/>
  <c r="I22" i="2"/>
  <c r="H15" i="3" s="1"/>
  <c r="I21" i="2"/>
  <c r="I20" i="2"/>
  <c r="I19" i="2"/>
  <c r="I18" i="2"/>
  <c r="I17" i="2"/>
  <c r="I16" i="2"/>
  <c r="I15" i="2"/>
  <c r="I14" i="2"/>
  <c r="I13" i="2"/>
  <c r="I12" i="2"/>
  <c r="H13" i="3" s="1"/>
  <c r="I11" i="2"/>
  <c r="I10" i="2"/>
  <c r="I9" i="2"/>
  <c r="I8" i="2"/>
  <c r="I7" i="2"/>
  <c r="I6" i="2"/>
  <c r="I5" i="2"/>
  <c r="I4" i="2"/>
  <c r="B13" i="3" s="1"/>
  <c r="I3" i="2"/>
  <c r="I2" i="2"/>
  <c r="E11" i="3" s="1"/>
  <c r="J6" i="1"/>
  <c r="E14" i="3" l="1"/>
  <c r="H14" i="3"/>
  <c r="H16" i="3"/>
  <c r="H11" i="3"/>
  <c r="E12" i="3"/>
  <c r="E15" i="3"/>
  <c r="H12" i="3"/>
  <c r="B14" i="3"/>
  <c r="B12" i="3"/>
  <c r="E13" i="3"/>
  <c r="C4" i="3"/>
  <c r="A6" i="1" s="1"/>
  <c r="B11" i="3"/>
  <c r="C6" i="3"/>
  <c r="G6" i="1" s="1"/>
</calcChain>
</file>

<file path=xl/sharedStrings.xml><?xml version="1.0" encoding="utf-8"?>
<sst xmlns="http://schemas.openxmlformats.org/spreadsheetml/2006/main" count="198" uniqueCount="85">
  <si>
    <t>EXECUTIVE BUSINESS PERFORMANCE DASHBOARD</t>
  </si>
  <si>
    <t>Interactive Filters Available in Excel: [ Region | Product Category | Date Range ]</t>
  </si>
  <si>
    <t>TOTAL SALES ($)</t>
  </si>
  <si>
    <t>TOTAL QUANTITY SOLD</t>
  </si>
  <si>
    <t>AVG SALES PER ORDER</t>
  </si>
  <si>
    <t>TOTAL ORDERS</t>
  </si>
  <si>
    <t>Order ID</t>
  </si>
  <si>
    <t>Order Date</t>
  </si>
  <si>
    <t>Region</t>
  </si>
  <si>
    <t>Customer Name</t>
  </si>
  <si>
    <t>Product Name</t>
  </si>
  <si>
    <t>Category</t>
  </si>
  <si>
    <t>Quantity</t>
  </si>
  <si>
    <t>Unit Price ($)</t>
  </si>
  <si>
    <t>Sales Amount ($)</t>
  </si>
  <si>
    <t>ORD-1001</t>
  </si>
  <si>
    <t>North</t>
  </si>
  <si>
    <t>TechCorp Ltd</t>
  </si>
  <si>
    <t>Laptop Pro</t>
  </si>
  <si>
    <t>Electronics</t>
  </si>
  <si>
    <t>ORD-1002</t>
  </si>
  <si>
    <t>South</t>
  </si>
  <si>
    <t>Ayesha Khan</t>
  </si>
  <si>
    <t>Wireless Mouse</t>
  </si>
  <si>
    <t>Accessories</t>
  </si>
  <si>
    <t>ORD-1003</t>
  </si>
  <si>
    <t>East</t>
  </si>
  <si>
    <t>Green Ltd</t>
  </si>
  <si>
    <t>Monitors 27-inch</t>
  </si>
  <si>
    <t>ORD-1004</t>
  </si>
  <si>
    <t>West</t>
  </si>
  <si>
    <t>Apex Digital</t>
  </si>
  <si>
    <t>Mechanical Keyboard</t>
  </si>
  <si>
    <t>ORD-1005</t>
  </si>
  <si>
    <t>Smart Solutions</t>
  </si>
  <si>
    <t>ORD-1006</t>
  </si>
  <si>
    <t>Rahim Traders</t>
  </si>
  <si>
    <t>Ergonomic Chair</t>
  </si>
  <si>
    <t>Furniture</t>
  </si>
  <si>
    <t>ORD-1007</t>
  </si>
  <si>
    <t>ORD-1008</t>
  </si>
  <si>
    <t>Blue Chip Inc</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</si>
  <si>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</si>
  <si>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</si>
  <si>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</si>
  <si>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</si>
  <si>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</si>
  <si>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</si>
  <si>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</si>
  <si>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</si>
  <si>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</si>
  <si>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</si>
  <si>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</si>
  <si>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</si>
  <si>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</si>
  <si>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</si>
  <si>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</si>
  <si>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</si>
  <si>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</si>
  <si>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</si>
  <si>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</si>
  <si>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</si>
  <si>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</si>
  <si>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</si>
  <si>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DAX / EXCEL MEASURES &amp; PIVOT SUMMARY TABLES</t>
  </si>
  <si>
    <t>Measure Name</t>
  </si>
  <si>
    <t>DAX / Formula Formula</t>
  </si>
  <si>
    <t>Calculated Value</t>
  </si>
  <si>
    <t>Total Sales</t>
  </si>
  <si>
    <t>DAX: Total Sales = SUM(SalesData[Sales Amount])</t>
  </si>
  <si>
    <t>Total Quantity Sold</t>
  </si>
  <si>
    <t>DAX: Total Quantity = SUM(SalesData[Quantity])</t>
  </si>
  <si>
    <t>Average Sales per Order</t>
  </si>
  <si>
    <t>DAX: Avg Sales = AVERAGE(SalesData[Sales Amount])</t>
  </si>
  <si>
    <t>Total Orders Count</t>
  </si>
  <si>
    <t>DAX: Total Orders = COUNT(SalesData[Order ID])</t>
  </si>
  <si>
    <t>Total Sales ($)</t>
  </si>
  <si>
    <t>Product</t>
  </si>
  <si>
    <t>Month</t>
  </si>
  <si>
    <t>Jan 2025</t>
  </si>
  <si>
    <t>Feb 2025</t>
  </si>
  <si>
    <t>Mar 2025</t>
  </si>
  <si>
    <t>Apr 2025</t>
  </si>
  <si>
    <t>May 2025</t>
  </si>
  <si>
    <t>Jun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</si>
</sst>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
  </numFmts>
  <fonts count="11" x14ac:knownFonts="1">
    <font>
      <sz val="11"/>
      <color theme="1"/>
      <name val="Calibri"/>
      <family val="2"/>
      <scheme val="minor"/>
    </font>
    <font>
      <b/>
      <sz val="11"/>
      <color rgb="FFFFFFFF"/>
      <name val="Calibri"/>
    </font>
    <font>
      <b/>
      <sz val="14"/>
      <color rgb="FF1F4E79"/>
      <name val="Calibri"/>
    </font>
    <font>
      <b/>
      <sz val="11"/>
      <name val="Calibri"/>
    </font>
    <font>
      <b/>
      <sz val="18"/>
      <color rgb="FFFFFFFF"/>
      <name val="Calibri"/>
    </font>
    <font>
      <i/>
      <sz val="10"/>
      <color rgb="FF595959"/>
      <name val="Calibri"/>
    </font>
    <font>
      <b/>
      <sz val="10"/>
      <color rgb="FF595959"/>
      <name val="Calibri"/>
    </font>
    <font>
      <b/>
      <sz val="16"/>
      <color rgb="FF1F4E79"/>
      <name val="Calibri"/>
    </font>
    <font>
      <b/>
      <sz val="16"/>
      <color rgb="FF2E75B6"/>
      <name val="Calibri"/>
    </font>
    <font>
      <b/>
      <sz val="16"/>
      <color rgb="FF548235"/>
      <name val="Calibri"/>
    </font>
    <font>
      <b/>
      <sz val="16"/>
      <color rgb="FFC55A11"/>
      <name val="Calibri"/>
    </font>
  </fonts>
  <fills count="4">
    <fill>
      <patternFill patternType="none"/>
    </fill>
    <fill>
      <patternFill patternType="gray125"/>
    </fill>
    <fill>
      <patternFill patternType="solid">
        <fgColor rgb="FF1F4E79"/>
        <bgColor rgb="FF1F4E79"/>
      </patternFill>
    </fill>
    <fill>
      <patternFill patternType="solid">
        <fgColor rgb="FFF2F2F2"/>
        <bgColor rgb="FFF2F2F2"/>
      </patternFill>
    </fill>
  </fills>
  <borders count="6">
    <border>
      <left/>
      <right/>
      <top/>
      <bottom/>
      <diagonal/>
    </border>
    <border>
      <left style="thin">
        <color rgb="FFD9D9D9"/>
      </left>
      <right style="thin">
        <color rgb="FFD9D9D9"/>
      </right>
      <top style="thin">
        <color rgb="FFD9D9D9"/>
      </top>
      <bottom style="thin">
        <color rgb="FFD9D9D9"/>
      </bottom>
      <diagonal/>
    </border>
    <border>
      <left style="medium">
        <color rgb="FF1F4E79"/>
      </left>
      <right style="thin">
        <color rgb="FFD9D9D9"/>
      </right>
      <top style="thin">
        <color rgb="FFD9D9D9"/>
      </top>
      <bottom style="thin">
        <color rgb="FFD9D9D9"/>
      </bottom>
      <diagonal/>
    </border>
    <border>
      <left style="medium">
        <color rgb="FF2E75B6"/>
      </left>
      <right style="thin">
        <color rgb="FFD9D9D9"/>
      </right>
      <top style="thin">
        <color rgb="FFD9D9D9"/>
      </top>
      <bottom style="thin">
        <color rgb="FFD9D9D9"/>
      </bottom>
      <diagonal/>
    </border>
    <border>
      <left style="medium">
        <color rgb="FF548235"/>
      </left>
      <right style="thin">
        <color rgb="FFD9D9D9"/>
      </right>
      <top style="thin">
        <color rgb="FFD9D9D9"/>
      </top>
      <bottom style="thin">
        <color rgb="FFD9D9D9"/>
      </bottom>
      <diagonal/>
    </border>
    <border>
      <left style="medium">
        <color rgb="FFC55A11"/>
      </left>
      <right style="thin">
        <color rgb="FFD9D9D9"/>
      </right>
      <top style="thin">
        <color rgb="FFD9D9D9"/>
      </top>
      <bottom style="thin">
        <color rgb="FFD9D9D9"/>
      </bottom>
      <diagonal/>
    </border>
  </borders>
  <cellStyleXfs count="1">
    <xf numFmtId="0" fontId="0" fillId="0" borderId="0"/>
  </cellStyleXfs>
  <cellXfs count="27">
    <xf numFmtId="0" fontId="0" fillId="0" borderId="0" xfId="0"/>
    <xf numFmtId="0" fontId="1" fillId="2" borderId="0" xfId="0" applyFont="1" applyFill="1" applyAlignment="1">
      <alignment horizontal="center" vertical="center"/>
    </xf>
    <xf numFmtId="0" fontId="0" fillId="0" borderId="1" xfId="0" applyBorder="1" applyAlignment="1">
      <alignment horizontal="center"/>
    </xf>
    <xf numFmtId="164" fontId="0" fillId="0" borderId="1" xfId="0" applyNumberFormat="1" applyBorder="1" applyAlignment="1">
      <alignment horizontal="center"/>
    </xf>
    <xf numFmtId="0" fontId="0" fillId="0" borderId="1" xfId="0" applyBorder="1"/>
    <xf numFmtId="3" fontId="0" fillId="0" borderId="1" xfId="0" applyNumberFormat="1" applyBorder="1" applyAlignment="1">
      <alignment horizontal="right"/>
    </xf>
    <xf numFmtId="165" fontId="0" fillId="0" borderId="1" xfId="0" applyNumberFormat="1" applyBorder="1" applyAlignment="1">
      <alignment horizontal="right"/>
    </xf>
    <xf numFmtId="0" fontId="2" fillId="0" borderId="0" xfId="0" applyFont="1"/>
    <xf numFmtId="0" fontId="1" fillId="2" borderId="0" xfId="0" applyFont="1" applyFill="1"/>
    <xf numFmtId="0" fontId="3" fillId="0" borderId="0" xfId="0" applyFont="1"/>
    <xf numFmtId="165" fontId="0" fillId="0" borderId="0" xfId="0" applyNumberFormat="1"/>
    <xf numFmtId="3" fontId="0" fillId="0" borderId="0" xfId="0" applyNumberFormat="1"/>
    <xf numFmtId="0" fontId="5" fillId="0" borderId="0" xfId="0" applyFont="1" applyAlignment="1">
      <alignment horizontal="center" vertical="center"/>
    </xf>
    <xf numFmtId="0" fontId="0" fillId="0" borderId="0" xfId="0"/>
    <xf numFmtId="0" fontId="6" fillId="3" borderId="5" xfId="0" applyFont="1" applyFill="1" applyBorder="1" applyAlignment="1">
      <alignment horizontal="center" vertical="center"/>
    </xf>
    <xf numFmtId="0" fontId="0" fillId="3" borderId="5" xfId="0" applyFill="1" applyBorder="1"/>
    <xf numFmtId="165" fontId="9" fillId="3" borderId="4" xfId="0" applyNumberFormat="1" applyFont="1" applyFill="1" applyBorder="1" applyAlignment="1">
      <alignment horizontal="center" vertical="center"/>
    </xf>
    <xf numFmtId="0" fontId="0" fillId="3" borderId="4" xfId="0" applyFill="1" applyBorder="1"/>
    <xf numFmtId="3" fontId="10" fillId="3" borderId="5" xfId="0" applyNumberFormat="1" applyFont="1" applyFill="1" applyBorder="1" applyAlignment="1">
      <alignment horizontal="center" vertical="center"/>
    </xf>
    <xf numFmtId="0" fontId="6" fillId="3" borderId="3" xfId="0" applyFont="1" applyFill="1" applyBorder="1" applyAlignment="1">
      <alignment horizontal="center" vertical="center"/>
    </xf>
    <xf numFmtId="0" fontId="0" fillId="3" borderId="3" xfId="0" applyFill="1" applyBorder="1"/>
    <xf numFmtId="0" fontId="6" fillId="3" borderId="2" xfId="0" applyFont="1" applyFill="1" applyBorder="1" applyAlignment="1">
      <alignment horizontal="center" vertical="center"/>
    </xf>
    <xf numFmtId="0" fontId="0" fillId="3" borderId="2" xfId="0" applyFill="1" applyBorder="1"/>
    <xf numFmtId="165" fontId="7" fillId="3" borderId="2" xfId="0" applyNumberFormat="1" applyFont="1" applyFill="1" applyBorder="1" applyAlignment="1">
      <alignment horizontal="center" vertical="center"/>
    </xf>
    <xf numFmtId="0" fontId="6" fillId="3" borderId="4" xfId="0" applyFont="1" applyFill="1" applyBorder="1" applyAlignment="1">
      <alignment horizontal="center" vertical="center"/>
    </xf>
    <xf numFmtId="3" fontId="8" fillId="3" borderId="3" xfId="0" applyNumberFormat="1" applyFont="1" applyFill="1" applyBorder="1" applyAlignment="1">
      <alignment horizontal="center" vertical="center"/>
    </xf>
    <xf numFmtId="0" fontId="4"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Total Sales by Region ($)</a:t>
            </a:r>
          </a:p>
        </c:rich>
      </c:tx>
      <c:overlay val="0"/>
    </c:title>
    <c:autoTitleDeleted val="0"/>
    <c:plotArea>
      <c:layout/>
      <c:barChart>
        <c:barDir val="col"/>
        <c:grouping val="clustered"/>
        <c:varyColors val="0"/>
        <c:ser>
          <c:idx val="0"/>
          <c:order val="0"/>
          <c:tx>
            <c:strRef>
              <c:f>'Data Model &amp; Calculations'!$B$10</c:f>
              <c:strCache>
                <c:ptCount val="1"/>
                <c:pt idx="0">
                  <c:v>Total Sales ($)</c:v>
                </c:pt>
              </c:strCache>
            </c:strRef>
          </c:tx>
          <c:spPr>
            <a:ln>
              <a:prstDash val="solid"/>
            </a:ln>
          </c:spPr>
          <c:invertIfNegative val="0"/>
          <c:cat>
            <c:strRef>
              <c:f>'Data Model &amp; Calculations'!$A$11:$A$14</c:f>
              <c:strCache>
                <c:ptCount val="4"/>
                <c:pt idx="0">
                  <c:v>North</c:v>
                </c:pt>
                <c:pt idx="1">
                  <c:v>South</c:v>
                </c:pt>
                <c:pt idx="2">
                  <c:v>East</c:v>
                </c:pt>
                <c:pt idx="3">
                  <c:v>West</c:v>
                </c:pt>
              </c:strCache>
            </c:strRef>
          </c:cat>
          <c:val>
            <c:numRef>
              <c:f>'Data Model &amp; Calculations'!$B$11:$B$14</c:f>
              <c:numCache>
                <c:formatCode>\$#,##0.00</c:formatCode>
                <c:ptCount val="4"/>
                <c:pt idx="0">
                  <c:v>25470</c:v>
                </c:pt>
                <c:pt idx="1">
                  <c:v>20565</c:v>
                </c:pt>
                <c:pt idx="2">
                  <c:v>15150</c:v>
                </c:pt>
                <c:pt idx="3">
                  <c:v>14875</c:v>
                </c:pt>
              </c:numCache>
            </c:numRef>
          </c:val>
          <c:extLst>
            <c:ext xmlns:c16="http://schemas.microsoft.com/office/drawing/2014/chart" uri="{C3380CC4-5D6E-409C-BE32-E72D297353CC}">
              <c16:uniqueId val="{00000000-4E50-47D7-AC8E-4D87EB5486DE}"/>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Region</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Sales Amount ($)</a:t>
                </a:r>
              </a:p>
            </c:rich>
          </c:tx>
          <c:overlay val="0"/>
        </c:title>
        <c:numFmt formatCode="\$#,##0.00" sourceLinked="1"/>
        <c:majorTickMark val="none"/>
        <c:minorTickMark val="none"/>
        <c:tickLblPos val="nextTo"/>
        <c:crossAx val="10"/>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1"/>
    </mc:Choice>
    <mc:Fallback>
      <c:style val="11"/>
    </mc:Fallback>
  </mc:AlternateContent>
  <c:chart>
    <c:title>
      <c:tx>
        <c:rich>
          <a:bodyPr/>
          <a:lstStyle/>
          <a:p>
            <a:pPr>
              <a:defRPr/>
            </a:pPr>
            <a:r>
              <a:rPr lang="en-US"/>
              <a:t>Sales Breakdown by Product</a:t>
            </a:r>
          </a:p>
        </c:rich>
      </c:tx>
      <c:overlay val="0"/>
    </c:title>
    <c:autoTitleDeleted val="0"/>
    <c:plotArea>
      <c:layout>
        <c:manualLayout>
          <c:layoutTarget val="inner"/>
          <c:xMode val="edge"/>
          <c:yMode val="edge"/>
          <c:x val="0.20523672407241159"/>
          <c:y val="0.14102305555555555"/>
          <c:w val="0.74919251944278575"/>
          <c:h val="0.68873805555555556"/>
        </c:manualLayout>
      </c:layout>
      <c:barChart>
        <c:barDir val="bar"/>
        <c:grouping val="clustered"/>
        <c:varyColors val="0"/>
        <c:ser>
          <c:idx val="0"/>
          <c:order val="0"/>
          <c:tx>
            <c:strRef>
              <c:f>'Data Model &amp; Calculations'!$E$10</c:f>
              <c:strCache>
                <c:ptCount val="1"/>
                <c:pt idx="0">
                  <c:v>Total Sales ($)</c:v>
                </c:pt>
              </c:strCache>
            </c:strRef>
          </c:tx>
          <c:spPr>
            <a:ln>
              <a:prstDash val="solid"/>
            </a:ln>
          </c:spPr>
          <c:invertIfNegative val="0"/>
          <c:cat>
            <c:strRef>
              <c:f>'Data Model &amp; Calculations'!$D$11:$D$15</c:f>
              <c:strCache>
                <c:ptCount val="5"/>
                <c:pt idx="0">
                  <c:v>Laptop Pro</c:v>
                </c:pt>
                <c:pt idx="1">
                  <c:v>Wireless Mouse</c:v>
                </c:pt>
                <c:pt idx="2">
                  <c:v>Monitors 27-inch</c:v>
                </c:pt>
                <c:pt idx="3">
                  <c:v>Mechanical Keyboard</c:v>
                </c:pt>
                <c:pt idx="4">
                  <c:v>Ergonomic Chair</c:v>
                </c:pt>
              </c:strCache>
            </c:strRef>
          </c:cat>
          <c:val>
            <c:numRef>
              <c:f>'Data Model &amp; Calculations'!$E$11:$E$15</c:f>
              <c:numCache>
                <c:formatCode>\$#,##0.00</c:formatCode>
                <c:ptCount val="5"/>
                <c:pt idx="0">
                  <c:v>40800</c:v>
                </c:pt>
                <c:pt idx="1">
                  <c:v>4125</c:v>
                </c:pt>
                <c:pt idx="2">
                  <c:v>14400</c:v>
                </c:pt>
                <c:pt idx="3">
                  <c:v>7735</c:v>
                </c:pt>
                <c:pt idx="4">
                  <c:v>9000</c:v>
                </c:pt>
              </c:numCache>
            </c:numRef>
          </c:val>
          <c:extLst>
            <c:ext xmlns:c16="http://schemas.microsoft.com/office/drawing/2014/chart" uri="{C3380CC4-5D6E-409C-BE32-E72D297353CC}">
              <c16:uniqueId val="{00000000-5257-4D73-BE73-6401C36EBDA9}"/>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title>
          <c:tx>
            <c:rich>
              <a:bodyPr/>
              <a:lstStyle/>
              <a:p>
                <a:pPr>
                  <a:defRPr/>
                </a:pPr>
                <a:r>
                  <a:rPr lang="en-US"/>
                  <a:t>Sales Amount ($)</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b"/>
        <c:majorGridlines/>
        <c:title>
          <c:tx>
            <c:rich>
              <a:bodyPr/>
              <a:lstStyle/>
              <a:p>
                <a:pPr>
                  <a:defRPr/>
                </a:pPr>
                <a:r>
                  <a:rPr lang="en-US"/>
                  <a:t>Product</a:t>
                </a:r>
              </a:p>
            </c:rich>
          </c:tx>
          <c:overlay val="0"/>
        </c:title>
        <c:numFmt formatCode="\$#,##0.00" sourceLinked="1"/>
        <c:majorTickMark val="none"/>
        <c:minorTickMark val="none"/>
        <c:tickLblPos val="nextTo"/>
        <c:crossAx val="10"/>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defRPr/>
            </a:pPr>
            <a:r>
              <a:rPr lang="en-US"/>
              <a:t>Monthly Revenue Trend (Jan - Jun 2025)</a:t>
            </a:r>
          </a:p>
        </c:rich>
      </c:tx>
      <c:overlay val="0"/>
    </c:title>
    <c:autoTitleDeleted val="0"/>
    <c:plotArea>
      <c:layout/>
      <c:lineChart>
        <c:grouping val="standard"/>
        <c:varyColors val="0"/>
        <c:ser>
          <c:idx val="0"/>
          <c:order val="0"/>
          <c:tx>
            <c:strRef>
              <c:f>'Data Model &amp; Calculations'!$H$10</c:f>
              <c:strCache>
                <c:ptCount val="1"/>
                <c:pt idx="0">
                  <c:v>Total Sales ($)</c:v>
                </c:pt>
              </c:strCache>
            </c:strRef>
          </c:tx>
          <c:spPr>
            <a:ln>
              <a:prstDash val="solid"/>
            </a:ln>
          </c:spPr>
          <c:marker>
            <c:symbol val="none"/>
          </c:marker>
          <c:cat>
            <c:strRef>
              <c:f>'Data Model &amp; Calculations'!$G$11:$G$16</c:f>
              <c:strCache>
                <c:ptCount val="6"/>
                <c:pt idx="0">
                  <c:v>Jan 2025</c:v>
                </c:pt>
                <c:pt idx="1">
                  <c:v>Feb 2025</c:v>
                </c:pt>
                <c:pt idx="2">
                  <c:v>Mar 2025</c:v>
                </c:pt>
                <c:pt idx="3">
                  <c:v>Apr 2025</c:v>
                </c:pt>
                <c:pt idx="4">
                  <c:v>May 2025</c:v>
                </c:pt>
                <c:pt idx="5">
                  <c:v>Jun 2025</c:v>
                </c:pt>
              </c:strCache>
            </c:strRef>
          </c:cat>
          <c:val>
            <c:numRef>
              <c:f>'Data Model &amp; Calculations'!$H$11:$H$16</c:f>
              <c:numCache>
                <c:formatCode>\$#,##0.00</c:formatCode>
                <c:ptCount val="6"/>
                <c:pt idx="0">
                  <c:v>13395</c:v>
                </c:pt>
                <c:pt idx="1">
                  <c:v>8950</c:v>
                </c:pt>
                <c:pt idx="2">
                  <c:v>12600</c:v>
                </c:pt>
                <c:pt idx="3">
                  <c:v>12780</c:v>
                </c:pt>
                <c:pt idx="4">
                  <c:v>10400</c:v>
                </c:pt>
                <c:pt idx="5">
                  <c:v>17935</c:v>
                </c:pt>
              </c:numCache>
            </c:numRef>
          </c:val>
          <c:smooth val="0"/>
          <c:extLst>
            <c:ext xmlns:c16="http://schemas.microsoft.com/office/drawing/2014/chart" uri="{C3380CC4-5D6E-409C-BE32-E72D297353CC}">
              <c16:uniqueId val="{00000000-FDFD-4D2F-9AC1-7B30FBC2260E}"/>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n-US"/>
                  <a:t>Month</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Revenue ($)</a:t>
                </a:r>
              </a:p>
            </c:rich>
          </c:tx>
          <c:overlay val="0"/>
        </c:title>
        <c:numFmt formatCode="\$#,##0.00" sourceLinked="1"/>
        <c:majorTickMark val="none"/>
        <c:minorTickMark val="none"/>
        <c:tickLblPos val="nextTo"/>
        <c:crossAx val="10"/>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163289</xdr:rowOff>
    </xdr:from>
    <xdr:ext cx="5760000" cy="360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259837</xdr:colOff>
      <xdr:row>10</xdr:row>
      <xdr:rowOff>174495</xdr:rowOff>
    </xdr:from>
    <xdr:ext cx="8054127" cy="360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59531</xdr:colOff>
      <xdr:row>30</xdr:row>
      <xdr:rowOff>44227</xdr:rowOff>
    </xdr:from>
    <xdr:ext cx="11880000" cy="396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twoCellAnchor editAs="absolute">
    <xdr:from>
      <xdr:col>16</xdr:col>
      <xdr:colOff>558575</xdr:colOff>
      <xdr:row>0</xdr:row>
      <xdr:rowOff>36057</xdr:rowOff>
    </xdr:from>
    <xdr:to>
      <xdr:col>19</xdr:col>
      <xdr:colOff>570822</xdr:colOff>
      <xdr:row>13</xdr:row>
      <xdr:rowOff>83682</xdr:rowOff>
    </xdr:to>
    <mc:AlternateContent xmlns:mc="http://schemas.openxmlformats.org/markup-compatibility/2006">
      <mc:Choice xmlns:sle15="http://schemas.microsoft.com/office/drawing/2012/slicer" Requires="sle15">
        <xdr:graphicFrame macro="">
          <xdr:nvGraphicFramePr>
            <xdr:cNvPr id="5" name="Order Date">
              <a:extLst>
                <a:ext uri="{FF2B5EF4-FFF2-40B4-BE49-F238E27FC236}">
                  <a16:creationId xmlns:a16="http://schemas.microsoft.com/office/drawing/2014/main" id="{7E6C99E7-AD9F-4082-8825-96CBAFB67601}"/>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14274575" y="36057"/>
              <a:ext cx="1849211"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428626</xdr:colOff>
      <xdr:row>0</xdr:row>
      <xdr:rowOff>33337</xdr:rowOff>
    </xdr:from>
    <xdr:to>
      <xdr:col>16</xdr:col>
      <xdr:colOff>440872</xdr:colOff>
      <xdr:row>8</xdr:row>
      <xdr:rowOff>122464</xdr:rowOff>
    </xdr:to>
    <mc:AlternateContent xmlns:mc="http://schemas.openxmlformats.org/markup-compatibility/2006">
      <mc:Choice xmlns:sle15="http://schemas.microsoft.com/office/drawing/2012/slicer" Requires="sle15">
        <xdr:graphicFrame macro="">
          <xdr:nvGraphicFramePr>
            <xdr:cNvPr id="6" name="Region">
              <a:extLst>
                <a:ext uri="{FF2B5EF4-FFF2-40B4-BE49-F238E27FC236}">
                  <a16:creationId xmlns:a16="http://schemas.microsoft.com/office/drawing/2014/main" id="{0CDFB99F-A83A-4667-93DE-7C37C07A44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07662" y="33337"/>
              <a:ext cx="1849210" cy="161312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88447</xdr:colOff>
      <xdr:row>0</xdr:row>
      <xdr:rowOff>51027</xdr:rowOff>
    </xdr:from>
    <xdr:to>
      <xdr:col>13</xdr:col>
      <xdr:colOff>340178</xdr:colOff>
      <xdr:row>9</xdr:row>
      <xdr:rowOff>27214</xdr:rowOff>
    </xdr:to>
    <mc:AlternateContent xmlns:mc="http://schemas.openxmlformats.org/markup-compatibility/2006">
      <mc:Choice xmlns:sle15="http://schemas.microsoft.com/office/drawing/2012/slicer" Requires="sle15">
        <xdr:graphicFrame macro="">
          <xdr:nvGraphicFramePr>
            <xdr:cNvPr id="7" name="Product Name">
              <a:extLst>
                <a:ext uri="{FF2B5EF4-FFF2-40B4-BE49-F238E27FC236}">
                  <a16:creationId xmlns:a16="http://schemas.microsoft.com/office/drawing/2014/main" id="{A5660C3B-2F6C-41BE-BDD7-023AFF4A7A13}"/>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10416268" y="51027"/>
              <a:ext cx="1802946" cy="169068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304D9512-BD09-445D-AD57-159AF56CE236}" sourceName="Order Dat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D6F842-5472-4374-B958-CC57700F181D}" sourceName="Region">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1949441-05AF-4A72-A791-4FC754B59C47}" sourceName="Product Name">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E2D2813E-DB1E-48FA-837A-F7580983C4A0}" cache="Slicer_Order_Date" caption="Order Date" rowHeight="241300"/>
  <slicer name="Region" xr10:uid="{BC3810E0-4FF6-42B5-8595-53A0133EB8A1}" cache="Slicer_Region" caption="Region" rowHeight="241300"/>
  <slicer name="Product Name" xr10:uid="{04EC1CF3-856B-406A-A83D-7E3C2188B98A}" cache="Slicer_Product_Name" caption="Product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I31">
  <autoFilter ref="A1:I31" xr:uid="{00000000-0009-0000-0100-000001000000}"/>
  <tableColumns count="9">
    <tableColumn id="1" xr3:uid="{00000000-0010-0000-0000-000001000000}" name="Order ID"/>
    <tableColumn id="2" xr3:uid="{00000000-0010-0000-0000-000002000000}" name="Order Date"/>
    <tableColumn id="3" xr3:uid="{00000000-0010-0000-0000-000003000000}" name="Region"/>
    <tableColumn id="4" xr3:uid="{00000000-0010-0000-0000-000004000000}" name="Customer Name"/>
    <tableColumn id="5" xr3:uid="{00000000-0010-0000-0000-000005000000}" name="Product Name"/>
    <tableColumn id="6" xr3:uid="{00000000-0010-0000-0000-000006000000}" name="Category"/>
    <tableColumn id="7" xr3:uid="{00000000-0010-0000-0000-000007000000}" name="Quantity"/>
    <tableColumn id="8" xr3:uid="{00000000-0010-0000-0000-000008000000}" name="Unit Price ($)"/>
    <tableColumn id="9" xr3:uid="{00000000-0010-0000-0000-000009000000}" name="Sales Amount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
  <sheetViews>
    <sheetView tabSelected="1" zoomScale="70" zoomScaleNormal="70" workbookViewId="0">
      <selection activeCell="P44" sqref="P44"/>
    </sheetView>
  </sheetViews>
  <sheetFormatPr defaultRowHeight="15" x14ac:dyDescent="0.25"/>
  <cols>
    <col min="1" max="12" width="14" customWidth="1"/>
  </cols>
  <sheetData>
    <row r="1" spans="1:11" x14ac:dyDescent="0.25">
      <c r="A1" s="26" t="s">
        <v>0</v>
      </c>
      <c r="B1" s="13"/>
      <c r="C1" s="13"/>
      <c r="D1" s="13"/>
      <c r="E1" s="13"/>
      <c r="F1" s="13"/>
      <c r="G1" s="13"/>
      <c r="H1" s="13"/>
      <c r="I1" s="13"/>
      <c r="J1" s="13"/>
      <c r="K1" s="13"/>
    </row>
    <row r="2" spans="1:11" x14ac:dyDescent="0.25">
      <c r="A2" s="13"/>
      <c r="B2" s="13"/>
      <c r="C2" s="13"/>
      <c r="D2" s="13"/>
      <c r="E2" s="13"/>
      <c r="F2" s="13"/>
      <c r="G2" s="13"/>
      <c r="H2" s="13"/>
      <c r="I2" s="13"/>
      <c r="J2" s="13"/>
      <c r="K2" s="13"/>
    </row>
    <row r="3" spans="1:11" x14ac:dyDescent="0.25">
      <c r="A3" s="12" t="s">
        <v>1</v>
      </c>
      <c r="B3" s="13"/>
      <c r="C3" s="13"/>
      <c r="D3" s="13"/>
      <c r="E3" s="13"/>
      <c r="F3" s="13"/>
      <c r="G3" s="13"/>
      <c r="H3" s="13"/>
      <c r="I3" s="13"/>
      <c r="J3" s="13"/>
      <c r="K3" s="13"/>
    </row>
    <row r="5" spans="1:11" x14ac:dyDescent="0.25">
      <c r="A5" s="21" t="s">
        <v>2</v>
      </c>
      <c r="B5" s="22"/>
      <c r="D5" s="19" t="s">
        <v>3</v>
      </c>
      <c r="E5" s="20"/>
      <c r="G5" s="24" t="s">
        <v>4</v>
      </c>
      <c r="H5" s="17"/>
      <c r="J5" s="14" t="s">
        <v>5</v>
      </c>
      <c r="K5" s="15"/>
    </row>
    <row r="6" spans="1:11" x14ac:dyDescent="0.25">
      <c r="A6" s="23">
        <f>'Data Model &amp; Calculations'!C4</f>
        <v>76060</v>
      </c>
      <c r="B6" s="22"/>
      <c r="D6" s="25">
        <f>'Data Model &amp; Calculations'!C5</f>
        <v>374</v>
      </c>
      <c r="E6" s="20"/>
      <c r="G6" s="16">
        <f>'Data Model &amp; Calculations'!C6</f>
        <v>2535.3333333333335</v>
      </c>
      <c r="H6" s="17"/>
      <c r="J6" s="18">
        <f>'Data Model &amp; Calculations'!C7</f>
        <v>30</v>
      </c>
      <c r="K6" s="15"/>
    </row>
    <row r="7" spans="1:11" x14ac:dyDescent="0.25">
      <c r="A7" s="22"/>
      <c r="B7" s="22"/>
      <c r="D7" s="20"/>
      <c r="E7" s="20"/>
      <c r="G7" s="17"/>
      <c r="H7" s="17"/>
      <c r="J7" s="15"/>
      <c r="K7" s="15"/>
    </row>
  </sheetData>
  <mergeCells count="10">
    <mergeCell ref="A1:K2"/>
    <mergeCell ref="A3:K3"/>
    <mergeCell ref="J5:K5"/>
    <mergeCell ref="G6:H7"/>
    <mergeCell ref="J6:K7"/>
    <mergeCell ref="D5:E5"/>
    <mergeCell ref="A5:B5"/>
    <mergeCell ref="A6:B7"/>
    <mergeCell ref="G5:H5"/>
    <mergeCell ref="D6:E7"/>
  </mergeCells>
  <pageMargins left="0.75" right="0.75" top="1" bottom="1" header="0.5" footer="0.5"/>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workbookViewId="0">
      <selection activeCell="A2" sqref="A2:XFD2"/>
    </sheetView>
  </sheetViews>
  <sheetFormatPr defaultRowHeight="15" x14ac:dyDescent="0.25"/>
  <cols>
    <col min="1" max="1" width="12" customWidth="1"/>
    <col min="2" max="2" width="14" customWidth="1"/>
    <col min="3" max="3" width="12" customWidth="1"/>
    <col min="4" max="4" width="19" customWidth="1"/>
    <col min="5" max="5" width="23" customWidth="1"/>
    <col min="6" max="6" width="15" customWidth="1"/>
    <col min="7" max="7" width="12" customWidth="1"/>
    <col min="8" max="8" width="18" customWidth="1"/>
    <col min="9" max="9" width="20" customWidth="1"/>
  </cols>
  <sheetData>
    <row r="1" spans="1:9" x14ac:dyDescent="0.25">
      <c r="A1" s="1" t="s">
        <v>6</v>
      </c>
      <c r="B1" s="1" t="s">
        <v>7</v>
      </c>
      <c r="C1" s="1" t="s">
        <v>8</v>
      </c>
      <c r="D1" s="1" t="s">
        <v>9</v>
      </c>
      <c r="E1" s="1" t="s">
        <v>10</v>
      </c>
      <c r="F1" s="1" t="s">
        <v>11</v>
      </c>
      <c r="G1" s="1" t="s">
        <v>12</v>
      </c>
      <c r="H1" s="1" t="s">
        <v>13</v>
      </c>
      <c r="I1" s="1" t="s">
        <v>14</v>
      </c>
    </row>
    <row r="2" spans="1:9" x14ac:dyDescent="0.25">
      <c r="A2" s="2" t="s">
        <v>15</v>
      </c>
      <c r="B2" s="3">
        <v>45662</v>
      </c>
      <c r="C2" s="2" t="s">
        <v>16</v>
      </c>
      <c r="D2" s="4" t="s">
        <v>17</v>
      </c>
      <c r="E2" s="4" t="s">
        <v>18</v>
      </c>
      <c r="F2" s="4" t="s">
        <v>19</v>
      </c>
      <c r="G2" s="5">
        <v>5</v>
      </c>
      <c r="H2" s="6">
        <v>1200</v>
      </c>
      <c r="I2" s="6">
        <f t="shared" ref="I2:I31" si="0">G2*H2</f>
        <v>6000</v>
      </c>
    </row>
    <row r="3" spans="1:9" x14ac:dyDescent="0.25">
      <c r="A3" s="2" t="s">
        <v>20</v>
      </c>
      <c r="B3" s="3">
        <v>45665</v>
      </c>
      <c r="C3" s="2" t="s">
        <v>21</v>
      </c>
      <c r="D3" s="4" t="s">
        <v>22</v>
      </c>
      <c r="E3" s="4" t="s">
        <v>23</v>
      </c>
      <c r="F3" s="4" t="s">
        <v>24</v>
      </c>
      <c r="G3" s="5">
        <v>15</v>
      </c>
      <c r="H3" s="6">
        <v>25</v>
      </c>
      <c r="I3" s="6">
        <f t="shared" si="0"/>
        <v>375</v>
      </c>
    </row>
    <row r="4" spans="1:9" x14ac:dyDescent="0.25">
      <c r="A4" s="2" t="s">
        <v>25</v>
      </c>
      <c r="B4" s="3">
        <v>45669</v>
      </c>
      <c r="C4" s="2" t="s">
        <v>26</v>
      </c>
      <c r="D4" s="4" t="s">
        <v>27</v>
      </c>
      <c r="E4" s="4" t="s">
        <v>28</v>
      </c>
      <c r="F4" s="4" t="s">
        <v>19</v>
      </c>
      <c r="G4" s="5">
        <v>8</v>
      </c>
      <c r="H4" s="6">
        <v>300</v>
      </c>
      <c r="I4" s="6">
        <f t="shared" si="0"/>
        <v>2400</v>
      </c>
    </row>
    <row r="5" spans="1:9" x14ac:dyDescent="0.25">
      <c r="A5" s="2" t="s">
        <v>29</v>
      </c>
      <c r="B5" s="3">
        <v>45672</v>
      </c>
      <c r="C5" s="2" t="s">
        <v>30</v>
      </c>
      <c r="D5" s="4" t="s">
        <v>31</v>
      </c>
      <c r="E5" s="4" t="s">
        <v>32</v>
      </c>
      <c r="F5" s="4" t="s">
        <v>24</v>
      </c>
      <c r="G5" s="5">
        <v>12</v>
      </c>
      <c r="H5" s="6">
        <v>85</v>
      </c>
      <c r="I5" s="6">
        <f t="shared" si="0"/>
        <v>1020</v>
      </c>
    </row>
    <row r="6" spans="1:9" x14ac:dyDescent="0.25">
      <c r="A6" s="2" t="s">
        <v>33</v>
      </c>
      <c r="B6" s="3">
        <v>45677</v>
      </c>
      <c r="C6" s="2" t="s">
        <v>16</v>
      </c>
      <c r="D6" s="4" t="s">
        <v>34</v>
      </c>
      <c r="E6" s="4" t="s">
        <v>18</v>
      </c>
      <c r="F6" s="4" t="s">
        <v>19</v>
      </c>
      <c r="G6" s="5">
        <v>3</v>
      </c>
      <c r="H6" s="6">
        <v>1200</v>
      </c>
      <c r="I6" s="6">
        <f t="shared" si="0"/>
        <v>3600</v>
      </c>
    </row>
    <row r="7" spans="1:9" x14ac:dyDescent="0.25">
      <c r="A7" s="2" t="s">
        <v>35</v>
      </c>
      <c r="B7" s="3">
        <v>45690</v>
      </c>
      <c r="C7" s="2" t="s">
        <v>21</v>
      </c>
      <c r="D7" s="4" t="s">
        <v>36</v>
      </c>
      <c r="E7" s="4" t="s">
        <v>37</v>
      </c>
      <c r="F7" s="4" t="s">
        <v>38</v>
      </c>
      <c r="G7" s="5">
        <v>4</v>
      </c>
      <c r="H7" s="6">
        <v>250</v>
      </c>
      <c r="I7" s="6">
        <f t="shared" si="0"/>
        <v>1000</v>
      </c>
    </row>
    <row r="8" spans="1:9" x14ac:dyDescent="0.25">
      <c r="A8" s="2" t="s">
        <v>39</v>
      </c>
      <c r="B8" s="3">
        <v>45694</v>
      </c>
      <c r="C8" s="2" t="s">
        <v>26</v>
      </c>
      <c r="D8" s="4" t="s">
        <v>22</v>
      </c>
      <c r="E8" s="4" t="s">
        <v>23</v>
      </c>
      <c r="F8" s="4" t="s">
        <v>24</v>
      </c>
      <c r="G8" s="5">
        <v>20</v>
      </c>
      <c r="H8" s="6">
        <v>25</v>
      </c>
      <c r="I8" s="6">
        <f t="shared" si="0"/>
        <v>500</v>
      </c>
    </row>
    <row r="9" spans="1:9" x14ac:dyDescent="0.25">
      <c r="A9" s="2" t="s">
        <v>40</v>
      </c>
      <c r="B9" s="3">
        <v>45699</v>
      </c>
      <c r="C9" s="2" t="s">
        <v>30</v>
      </c>
      <c r="D9" s="4" t="s">
        <v>41</v>
      </c>
      <c r="E9" s="4" t="s">
        <v>28</v>
      </c>
      <c r="F9" s="4" t="s">
        <v>19</v>
      </c>
      <c r="G9" s="5">
        <v>6</v>
      </c>
      <c r="H9" s="6">
        <v>300</v>
      </c>
      <c r="I9" s="6">
        <f t="shared" si="0"/>
        <v>1800</v>
      </c>
    </row>
    <row r="10" spans="1:9" x14ac:dyDescent="0.25">
      <c r="A10" s="2" t="s">
        <v>42</v>
      </c>
      <c r="B10" s="3">
        <v>45706</v>
      </c>
      <c r="C10" s="2" t="s">
        <v>16</v>
      </c>
      <c r="D10" s="4" t="s">
        <v>17</v>
      </c>
      <c r="E10" s="4" t="s">
        <v>32</v>
      </c>
      <c r="F10" s="4" t="s">
        <v>24</v>
      </c>
      <c r="G10" s="5">
        <v>10</v>
      </c>
      <c r="H10" s="6">
        <v>85</v>
      </c>
      <c r="I10" s="6">
        <f t="shared" si="0"/>
        <v>850</v>
      </c>
    </row>
    <row r="11" spans="1:9" x14ac:dyDescent="0.25">
      <c r="A11" s="2" t="s">
        <v>43</v>
      </c>
      <c r="B11" s="3">
        <v>45713</v>
      </c>
      <c r="C11" s="2" t="s">
        <v>21</v>
      </c>
      <c r="D11" s="4" t="s">
        <v>27</v>
      </c>
      <c r="E11" s="4" t="s">
        <v>18</v>
      </c>
      <c r="F11" s="4" t="s">
        <v>19</v>
      </c>
      <c r="G11" s="5">
        <v>4</v>
      </c>
      <c r="H11" s="6">
        <v>1200</v>
      </c>
      <c r="I11" s="6">
        <f t="shared" si="0"/>
        <v>4800</v>
      </c>
    </row>
    <row r="12" spans="1:9" x14ac:dyDescent="0.25">
      <c r="A12" s="2" t="s">
        <v>44</v>
      </c>
      <c r="B12" s="3">
        <v>45719</v>
      </c>
      <c r="C12" s="2" t="s">
        <v>26</v>
      </c>
      <c r="D12" s="4" t="s">
        <v>31</v>
      </c>
      <c r="E12" s="4" t="s">
        <v>37</v>
      </c>
      <c r="F12" s="4" t="s">
        <v>38</v>
      </c>
      <c r="G12" s="5">
        <v>8</v>
      </c>
      <c r="H12" s="6">
        <v>250</v>
      </c>
      <c r="I12" s="6">
        <f t="shared" si="0"/>
        <v>2000</v>
      </c>
    </row>
    <row r="13" spans="1:9" x14ac:dyDescent="0.25">
      <c r="A13" s="2" t="s">
        <v>45</v>
      </c>
      <c r="B13" s="3">
        <v>45725</v>
      </c>
      <c r="C13" s="2" t="s">
        <v>30</v>
      </c>
      <c r="D13" s="4" t="s">
        <v>34</v>
      </c>
      <c r="E13" s="4" t="s">
        <v>23</v>
      </c>
      <c r="F13" s="4" t="s">
        <v>24</v>
      </c>
      <c r="G13" s="5">
        <v>25</v>
      </c>
      <c r="H13" s="6">
        <v>25</v>
      </c>
      <c r="I13" s="6">
        <f t="shared" si="0"/>
        <v>625</v>
      </c>
    </row>
    <row r="14" spans="1:9" x14ac:dyDescent="0.25">
      <c r="A14" s="2" t="s">
        <v>46</v>
      </c>
      <c r="B14" s="3">
        <v>45730</v>
      </c>
      <c r="C14" s="2" t="s">
        <v>16</v>
      </c>
      <c r="D14" s="4" t="s">
        <v>36</v>
      </c>
      <c r="E14" s="4" t="s">
        <v>28</v>
      </c>
      <c r="F14" s="4" t="s">
        <v>19</v>
      </c>
      <c r="G14" s="5">
        <v>5</v>
      </c>
      <c r="H14" s="6">
        <v>300</v>
      </c>
      <c r="I14" s="6">
        <f t="shared" si="0"/>
        <v>1500</v>
      </c>
    </row>
    <row r="15" spans="1:9" x14ac:dyDescent="0.25">
      <c r="A15" s="2" t="s">
        <v>47</v>
      </c>
      <c r="B15" s="3">
        <v>45736</v>
      </c>
      <c r="C15" s="2" t="s">
        <v>21</v>
      </c>
      <c r="D15" s="4" t="s">
        <v>41</v>
      </c>
      <c r="E15" s="4" t="s">
        <v>18</v>
      </c>
      <c r="F15" s="4" t="s">
        <v>19</v>
      </c>
      <c r="G15" s="5">
        <v>6</v>
      </c>
      <c r="H15" s="6">
        <v>1200</v>
      </c>
      <c r="I15" s="6">
        <f t="shared" si="0"/>
        <v>7200</v>
      </c>
    </row>
    <row r="16" spans="1:9" x14ac:dyDescent="0.25">
      <c r="A16" s="2" t="s">
        <v>48</v>
      </c>
      <c r="B16" s="3">
        <v>45744</v>
      </c>
      <c r="C16" s="2" t="s">
        <v>26</v>
      </c>
      <c r="D16" s="4" t="s">
        <v>17</v>
      </c>
      <c r="E16" s="4" t="s">
        <v>32</v>
      </c>
      <c r="F16" s="4" t="s">
        <v>24</v>
      </c>
      <c r="G16" s="5">
        <v>15</v>
      </c>
      <c r="H16" s="6">
        <v>85</v>
      </c>
      <c r="I16" s="6">
        <f t="shared" si="0"/>
        <v>1275</v>
      </c>
    </row>
    <row r="17" spans="1:9" x14ac:dyDescent="0.25">
      <c r="A17" s="2" t="s">
        <v>49</v>
      </c>
      <c r="B17" s="3">
        <v>45751</v>
      </c>
      <c r="C17" s="2" t="s">
        <v>30</v>
      </c>
      <c r="D17" s="4" t="s">
        <v>22</v>
      </c>
      <c r="E17" s="4" t="s">
        <v>37</v>
      </c>
      <c r="F17" s="4" t="s">
        <v>38</v>
      </c>
      <c r="G17" s="5">
        <v>6</v>
      </c>
      <c r="H17" s="6">
        <v>250</v>
      </c>
      <c r="I17" s="6">
        <f t="shared" si="0"/>
        <v>1500</v>
      </c>
    </row>
    <row r="18" spans="1:9" x14ac:dyDescent="0.25">
      <c r="A18" s="2" t="s">
        <v>50</v>
      </c>
      <c r="B18" s="3">
        <v>45757</v>
      </c>
      <c r="C18" s="2" t="s">
        <v>16</v>
      </c>
      <c r="D18" s="4" t="s">
        <v>27</v>
      </c>
      <c r="E18" s="4" t="s">
        <v>23</v>
      </c>
      <c r="F18" s="4" t="s">
        <v>24</v>
      </c>
      <c r="G18" s="5">
        <v>30</v>
      </c>
      <c r="H18" s="6">
        <v>25</v>
      </c>
      <c r="I18" s="6">
        <f t="shared" si="0"/>
        <v>750</v>
      </c>
    </row>
    <row r="19" spans="1:9" x14ac:dyDescent="0.25">
      <c r="A19" s="2" t="s">
        <v>51</v>
      </c>
      <c r="B19" s="3">
        <v>45763</v>
      </c>
      <c r="C19" s="2" t="s">
        <v>21</v>
      </c>
      <c r="D19" s="4" t="s">
        <v>31</v>
      </c>
      <c r="E19" s="4" t="s">
        <v>28</v>
      </c>
      <c r="F19" s="4" t="s">
        <v>19</v>
      </c>
      <c r="G19" s="5">
        <v>10</v>
      </c>
      <c r="H19" s="6">
        <v>300</v>
      </c>
      <c r="I19" s="6">
        <f t="shared" si="0"/>
        <v>3000</v>
      </c>
    </row>
    <row r="20" spans="1:9" x14ac:dyDescent="0.25">
      <c r="A20" s="2" t="s">
        <v>52</v>
      </c>
      <c r="B20" s="3">
        <v>45769</v>
      </c>
      <c r="C20" s="2" t="s">
        <v>26</v>
      </c>
      <c r="D20" s="4" t="s">
        <v>34</v>
      </c>
      <c r="E20" s="4" t="s">
        <v>18</v>
      </c>
      <c r="F20" s="4" t="s">
        <v>19</v>
      </c>
      <c r="G20" s="5">
        <v>5</v>
      </c>
      <c r="H20" s="6">
        <v>1200</v>
      </c>
      <c r="I20" s="6">
        <f t="shared" si="0"/>
        <v>6000</v>
      </c>
    </row>
    <row r="21" spans="1:9" x14ac:dyDescent="0.25">
      <c r="A21" s="2" t="s">
        <v>53</v>
      </c>
      <c r="B21" s="3">
        <v>45776</v>
      </c>
      <c r="C21" s="2" t="s">
        <v>30</v>
      </c>
      <c r="D21" s="4" t="s">
        <v>36</v>
      </c>
      <c r="E21" s="4" t="s">
        <v>32</v>
      </c>
      <c r="F21" s="4" t="s">
        <v>24</v>
      </c>
      <c r="G21" s="5">
        <v>18</v>
      </c>
      <c r="H21" s="6">
        <v>85</v>
      </c>
      <c r="I21" s="6">
        <f t="shared" si="0"/>
        <v>1530</v>
      </c>
    </row>
    <row r="22" spans="1:9" x14ac:dyDescent="0.25">
      <c r="A22" s="2" t="s">
        <v>54</v>
      </c>
      <c r="B22" s="3">
        <v>45782</v>
      </c>
      <c r="C22" s="2" t="s">
        <v>16</v>
      </c>
      <c r="D22" s="4" t="s">
        <v>41</v>
      </c>
      <c r="E22" s="4" t="s">
        <v>37</v>
      </c>
      <c r="F22" s="4" t="s">
        <v>38</v>
      </c>
      <c r="G22" s="5">
        <v>10</v>
      </c>
      <c r="H22" s="6">
        <v>250</v>
      </c>
      <c r="I22" s="6">
        <f t="shared" si="0"/>
        <v>2500</v>
      </c>
    </row>
    <row r="23" spans="1:9" x14ac:dyDescent="0.25">
      <c r="A23" s="2" t="s">
        <v>55</v>
      </c>
      <c r="B23" s="3">
        <v>45789</v>
      </c>
      <c r="C23" s="2" t="s">
        <v>21</v>
      </c>
      <c r="D23" s="4" t="s">
        <v>17</v>
      </c>
      <c r="E23" s="4" t="s">
        <v>23</v>
      </c>
      <c r="F23" s="4" t="s">
        <v>24</v>
      </c>
      <c r="G23" s="5">
        <v>40</v>
      </c>
      <c r="H23" s="6">
        <v>25</v>
      </c>
      <c r="I23" s="6">
        <f t="shared" si="0"/>
        <v>1000</v>
      </c>
    </row>
    <row r="24" spans="1:9" x14ac:dyDescent="0.25">
      <c r="A24" s="2" t="s">
        <v>56</v>
      </c>
      <c r="B24" s="3">
        <v>45795</v>
      </c>
      <c r="C24" s="2" t="s">
        <v>26</v>
      </c>
      <c r="D24" s="4" t="s">
        <v>22</v>
      </c>
      <c r="E24" s="4" t="s">
        <v>28</v>
      </c>
      <c r="F24" s="4" t="s">
        <v>19</v>
      </c>
      <c r="G24" s="5">
        <v>7</v>
      </c>
      <c r="H24" s="6">
        <v>300</v>
      </c>
      <c r="I24" s="6">
        <f t="shared" si="0"/>
        <v>2100</v>
      </c>
    </row>
    <row r="25" spans="1:9" x14ac:dyDescent="0.25">
      <c r="A25" s="2" t="s">
        <v>57</v>
      </c>
      <c r="B25" s="3">
        <v>45802</v>
      </c>
      <c r="C25" s="2" t="s">
        <v>30</v>
      </c>
      <c r="D25" s="4" t="s">
        <v>27</v>
      </c>
      <c r="E25" s="4" t="s">
        <v>18</v>
      </c>
      <c r="F25" s="4" t="s">
        <v>19</v>
      </c>
      <c r="G25" s="5">
        <v>4</v>
      </c>
      <c r="H25" s="6">
        <v>1200</v>
      </c>
      <c r="I25" s="6">
        <f t="shared" si="0"/>
        <v>4800</v>
      </c>
    </row>
    <row r="26" spans="1:9" x14ac:dyDescent="0.25">
      <c r="A26" s="2" t="s">
        <v>58</v>
      </c>
      <c r="B26" s="3">
        <v>45810</v>
      </c>
      <c r="C26" s="2" t="s">
        <v>16</v>
      </c>
      <c r="D26" s="4" t="s">
        <v>31</v>
      </c>
      <c r="E26" s="4" t="s">
        <v>32</v>
      </c>
      <c r="F26" s="4" t="s">
        <v>24</v>
      </c>
      <c r="G26" s="5">
        <v>22</v>
      </c>
      <c r="H26" s="6">
        <v>85</v>
      </c>
      <c r="I26" s="6">
        <f t="shared" si="0"/>
        <v>1870</v>
      </c>
    </row>
    <row r="27" spans="1:9" x14ac:dyDescent="0.25">
      <c r="A27" s="2" t="s">
        <v>59</v>
      </c>
      <c r="B27" s="3">
        <v>45817</v>
      </c>
      <c r="C27" s="2" t="s">
        <v>21</v>
      </c>
      <c r="D27" s="4" t="s">
        <v>34</v>
      </c>
      <c r="E27" s="4" t="s">
        <v>37</v>
      </c>
      <c r="F27" s="4" t="s">
        <v>38</v>
      </c>
      <c r="G27" s="5">
        <v>8</v>
      </c>
      <c r="H27" s="6">
        <v>250</v>
      </c>
      <c r="I27" s="6">
        <f t="shared" si="0"/>
        <v>2000</v>
      </c>
    </row>
    <row r="28" spans="1:9" x14ac:dyDescent="0.25">
      <c r="A28" s="2" t="s">
        <v>60</v>
      </c>
      <c r="B28" s="3">
        <v>45823</v>
      </c>
      <c r="C28" s="2" t="s">
        <v>26</v>
      </c>
      <c r="D28" s="4" t="s">
        <v>36</v>
      </c>
      <c r="E28" s="4" t="s">
        <v>23</v>
      </c>
      <c r="F28" s="4" t="s">
        <v>24</v>
      </c>
      <c r="G28" s="5">
        <v>35</v>
      </c>
      <c r="H28" s="6">
        <v>25</v>
      </c>
      <c r="I28" s="6">
        <f t="shared" si="0"/>
        <v>875</v>
      </c>
    </row>
    <row r="29" spans="1:9" x14ac:dyDescent="0.25">
      <c r="A29" s="2" t="s">
        <v>61</v>
      </c>
      <c r="B29" s="3">
        <v>45829</v>
      </c>
      <c r="C29" s="2" t="s">
        <v>30</v>
      </c>
      <c r="D29" s="4" t="s">
        <v>41</v>
      </c>
      <c r="E29" s="4" t="s">
        <v>28</v>
      </c>
      <c r="F29" s="4" t="s">
        <v>19</v>
      </c>
      <c r="G29" s="5">
        <v>12</v>
      </c>
      <c r="H29" s="6">
        <v>300</v>
      </c>
      <c r="I29" s="6">
        <f t="shared" si="0"/>
        <v>3600</v>
      </c>
    </row>
    <row r="30" spans="1:9" x14ac:dyDescent="0.25">
      <c r="A30" s="2" t="s">
        <v>62</v>
      </c>
      <c r="B30" s="3">
        <v>45835</v>
      </c>
      <c r="C30" s="2" t="s">
        <v>16</v>
      </c>
      <c r="D30" s="4" t="s">
        <v>17</v>
      </c>
      <c r="E30" s="4" t="s">
        <v>18</v>
      </c>
      <c r="F30" s="4" t="s">
        <v>19</v>
      </c>
      <c r="G30" s="5">
        <v>7</v>
      </c>
      <c r="H30" s="6">
        <v>1200</v>
      </c>
      <c r="I30" s="6">
        <f t="shared" si="0"/>
        <v>8400</v>
      </c>
    </row>
    <row r="31" spans="1:9" x14ac:dyDescent="0.25">
      <c r="A31" s="2" t="s">
        <v>63</v>
      </c>
      <c r="B31" s="3">
        <v>45838</v>
      </c>
      <c r="C31" s="2" t="s">
        <v>21</v>
      </c>
      <c r="D31" s="4" t="s">
        <v>22</v>
      </c>
      <c r="E31" s="4" t="s">
        <v>32</v>
      </c>
      <c r="F31" s="4" t="s">
        <v>24</v>
      </c>
      <c r="G31" s="5">
        <v>14</v>
      </c>
      <c r="H31" s="6">
        <v>85</v>
      </c>
      <c r="I31" s="6">
        <f t="shared" si="0"/>
        <v>1190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
  <sheetViews>
    <sheetView workbookViewId="0"/>
  </sheetViews>
  <sheetFormatPr defaultRowHeight="15" x14ac:dyDescent="0.25"/>
  <cols>
    <col min="1" max="1" width="46" customWidth="1"/>
    <col min="2" max="2" width="76" customWidth="1"/>
    <col min="3" max="3" width="38" customWidth="1"/>
    <col min="4" max="4" width="22" customWidth="1"/>
    <col min="5" max="5" width="76" customWidth="1"/>
    <col min="6" max="7" width="15" customWidth="1"/>
    <col min="8" max="8" width="135" customWidth="1"/>
  </cols>
  <sheetData>
    <row r="1" spans="1:8" ht="18.75" x14ac:dyDescent="0.3">
      <c r="A1" s="7" t="s">
        <v>64</v>
      </c>
    </row>
    <row r="3" spans="1:8" x14ac:dyDescent="0.25">
      <c r="A3" s="8" t="s">
        <v>65</v>
      </c>
      <c r="B3" s="8" t="s">
        <v>66</v>
      </c>
      <c r="C3" s="8" t="s">
        <v>67</v>
      </c>
    </row>
    <row r="4" spans="1:8" x14ac:dyDescent="0.25">
      <c r="A4" s="9" t="s">
        <v>68</v>
      </c>
      <c r="B4" t="s">
        <v>69</v>
      </c>
      <c r="C4" s="10">
        <f>SUM('Raw &amp; Clean Data'!I2:I31)</f>
        <v>76060</v>
      </c>
    </row>
    <row r="5" spans="1:8" x14ac:dyDescent="0.25">
      <c r="A5" s="9" t="s">
        <v>70</v>
      </c>
      <c r="B5" t="s">
        <v>71</v>
      </c>
      <c r="C5" s="11">
        <f>SUM('Raw &amp; Clean Data'!G2:G31)</f>
        <v>374</v>
      </c>
    </row>
    <row r="6" spans="1:8" x14ac:dyDescent="0.25">
      <c r="A6" s="9" t="s">
        <v>72</v>
      </c>
      <c r="B6" t="s">
        <v>73</v>
      </c>
      <c r="C6" s="10">
        <f>AVERAGE('Raw &amp; Clean Data'!I2:I31)</f>
        <v>2535.3333333333335</v>
      </c>
    </row>
    <row r="7" spans="1:8" x14ac:dyDescent="0.25">
      <c r="A7" s="9" t="s">
        <v>74</v>
      </c>
      <c r="B7" t="s">
        <v>75</v>
      </c>
      <c r="C7" s="11">
        <f>COUNTA('Raw &amp; Clean Data'!A2:A31)</f>
        <v>30</v>
      </c>
    </row>
    <row r="10" spans="1:8" x14ac:dyDescent="0.25">
      <c r="A10" s="8" t="s">
        <v>8</v>
      </c>
      <c r="B10" s="8" t="s">
        <v>76</v>
      </c>
      <c r="D10" s="8" t="s">
        <v>77</v>
      </c>
      <c r="E10" s="8" t="s">
        <v>76</v>
      </c>
      <c r="G10" s="8" t="s">
        <v>78</v>
      </c>
      <c r="H10" s="8" t="s">
        <v>76</v>
      </c>
    </row>
    <row r="11" spans="1:8" x14ac:dyDescent="0.25">
      <c r="A11" t="s">
        <v>16</v>
      </c>
      <c r="B11" s="10">
        <f>SUMIF('Raw &amp; Clean Data'!$C$2:$C$31, A11, 'Raw &amp; Clean Data'!$I$2:$I$31)</f>
        <v>25470</v>
      </c>
      <c r="D11" t="s">
        <v>18</v>
      </c>
      <c r="E11" s="10">
        <f>SUMIF('Raw &amp; Clean Data'!$E$2:$E$31, D11, 'Raw &amp; Clean Data'!$I$2:$I$31)</f>
        <v>40800</v>
      </c>
      <c r="G11" t="s">
        <v>79</v>
      </c>
      <c r="H11" s="10">
        <f>SUMIFS('Raw &amp; Clean Data'!$I$2:$I$31, 'Raw &amp; Clean Data'!$B$2:$B$31, "&gt;=2025-01-01", 'Raw &amp; Clean Data'!$B$2:$B$31, "&lt;=2025-01-31")</f>
        <v>13395</v>
      </c>
    </row>
    <row r="12" spans="1:8" x14ac:dyDescent="0.25">
      <c r="A12" t="s">
        <v>21</v>
      </c>
      <c r="B12" s="10">
        <f>SUMIF('Raw &amp; Clean Data'!$C$2:$C$31, A12, 'Raw &amp; Clean Data'!$I$2:$I$31)</f>
        <v>20565</v>
      </c>
      <c r="D12" t="s">
        <v>23</v>
      </c>
      <c r="E12" s="10">
        <f>SUMIF('Raw &amp; Clean Data'!$E$2:$E$31, D12, 'Raw &amp; Clean Data'!$I$2:$I$31)</f>
        <v>4125</v>
      </c>
      <c r="G12" t="s">
        <v>80</v>
      </c>
      <c r="H12" s="10">
        <f>SUMIFS('Raw &amp; Clean Data'!$I$2:$I$31, 'Raw &amp; Clean Data'!$B$2:$B$31, "&gt;=2025-02-01", 'Raw &amp; Clean Data'!$B$2:$B$31, "&lt;=2025-02-28")</f>
        <v>8950</v>
      </c>
    </row>
    <row r="13" spans="1:8" x14ac:dyDescent="0.25">
      <c r="A13" t="s">
        <v>26</v>
      </c>
      <c r="B13" s="10">
        <f>SUMIF('Raw &amp; Clean Data'!$C$2:$C$31, A13, 'Raw &amp; Clean Data'!$I$2:$I$31)</f>
        <v>15150</v>
      </c>
      <c r="D13" t="s">
        <v>28</v>
      </c>
      <c r="E13" s="10">
        <f>SUMIF('Raw &amp; Clean Data'!$E$2:$E$31, D13, 'Raw &amp; Clean Data'!$I$2:$I$31)</f>
        <v>14400</v>
      </c>
      <c r="G13" t="s">
        <v>81</v>
      </c>
      <c r="H13" s="10">
        <f>SUMIFS('Raw &amp; Clean Data'!$I$2:$I$31, 'Raw &amp; Clean Data'!$B$2:$B$31, "&gt;=2025-03-01", 'Raw &amp; Clean Data'!$B$2:$B$31, "&lt;=2025-03-31")</f>
        <v>12600</v>
      </c>
    </row>
    <row r="14" spans="1:8" x14ac:dyDescent="0.25">
      <c r="A14" t="s">
        <v>30</v>
      </c>
      <c r="B14" s="10">
        <f>SUMIF('Raw &amp; Clean Data'!$C$2:$C$31, A14, 'Raw &amp; Clean Data'!$I$2:$I$31)</f>
        <v>14875</v>
      </c>
      <c r="D14" t="s">
        <v>32</v>
      </c>
      <c r="E14" s="10">
        <f>SUMIF('Raw &amp; Clean Data'!$E$2:$E$31, D14, 'Raw &amp; Clean Data'!$I$2:$I$31)</f>
        <v>7735</v>
      </c>
      <c r="G14" t="s">
        <v>82</v>
      </c>
      <c r="H14" s="10">
        <f>SUMIFS('Raw &amp; Clean Data'!$I$2:$I$31, 'Raw &amp; Clean Data'!$B$2:$B$31, "&gt;=2025-04-01", 'Raw &amp; Clean Data'!$B$2:$B$31, "&lt;=2025-04-30")</f>
        <v>12780</v>
      </c>
    </row>
    <row r="15" spans="1:8" x14ac:dyDescent="0.25">
      <c r="D15" t="s">
        <v>37</v>
      </c>
      <c r="E15" s="10">
        <f>SUMIF('Raw &amp; Clean Data'!$E$2:$E$31, D15, 'Raw &amp; Clean Data'!$I$2:$I$31)</f>
        <v>9000</v>
      </c>
      <c r="G15" t="s">
        <v>83</v>
      </c>
      <c r="H15" s="10">
        <f>SUMIFS('Raw &amp; Clean Data'!$I$2:$I$31, 'Raw &amp; Clean Data'!$B$2:$B$31, "&gt;=2025-05-01", 'Raw &amp; Clean Data'!$B$2:$B$31, "&lt;=2025-05-31")</f>
        <v>10400</v>
      </c>
    </row>
    <row r="16" spans="1:8" x14ac:dyDescent="0.25">
      <c r="G16" t="s">
        <v>84</v>
      </c>
      <c r="H16" s="10">
        <f>SUMIFS('Raw &amp; Clean Data'!$I$2:$I$31, 'Raw &amp; Clean Data'!$B$2:$B$31, "&gt;=2025-06-01", 'Raw &amp; Clean Data'!$B$2:$B$31, "&lt;=2025-06-30")</f>
        <v>17935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Raw &amp; Clean Data</vt:lpstr>
      <vt:lpstr>Data Model &amp; 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t48436</cp:lastModifiedBy>
  <dcterms:created xsi:type="dcterms:W3CDTF">2026-07-27T15:34:23Z</dcterms:created>
  <dcterms:modified xsi:type="dcterms:W3CDTF">2026-07-27T15:53:04Z</dcterms:modified>
</cp:coreProperties>
</file>